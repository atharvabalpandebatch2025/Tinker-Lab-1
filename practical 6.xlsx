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90417564a8b40b0/Desktop/Tinker Git hub/"/>
    </mc:Choice>
  </mc:AlternateContent>
  <xr:revisionPtr revIDLastSave="0" documentId="8_{37D79079-8D55-4BF8-BFE6-0F103A748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 a="1"/>
  <c r="E17" i="1" s="1"/>
  <c r="E20" i="1"/>
  <c r="D20" i="1"/>
  <c r="F20" i="1"/>
  <c r="G20" i="1"/>
  <c r="C20" i="1"/>
  <c r="D19" i="1"/>
  <c r="E19" i="1"/>
  <c r="F19" i="1"/>
  <c r="G19" i="1"/>
  <c r="C19" i="1"/>
  <c r="D17" i="1"/>
  <c r="F17" i="1"/>
  <c r="G17" i="1"/>
  <c r="C17" i="1"/>
  <c r="D16" i="1"/>
  <c r="E16" i="1"/>
  <c r="F16" i="1"/>
  <c r="G16" i="1"/>
  <c r="C16" i="1"/>
  <c r="E14" i="1"/>
  <c r="F14" i="1"/>
  <c r="G14" i="1"/>
  <c r="D14" i="1"/>
  <c r="C14" i="1"/>
  <c r="D12" i="1"/>
  <c r="D13" i="1" s="1"/>
  <c r="E12" i="1"/>
  <c r="E13" i="1" s="1"/>
  <c r="F12" i="1"/>
  <c r="F13" i="1" s="1"/>
  <c r="G12" i="1"/>
  <c r="G13" i="1" s="1"/>
  <c r="C12" i="1"/>
  <c r="C13" i="1" s="1"/>
  <c r="H3" i="1"/>
  <c r="H4" i="1"/>
  <c r="I4" i="1" s="1"/>
  <c r="H5" i="1"/>
  <c r="I5" i="1" s="1"/>
  <c r="H6" i="1"/>
  <c r="I6" i="1" s="1"/>
  <c r="H7" i="1"/>
  <c r="J7" i="1" s="1"/>
  <c r="H8" i="1"/>
  <c r="I8" i="1" s="1"/>
  <c r="H9" i="1"/>
  <c r="I9" i="1" s="1"/>
  <c r="H10" i="1"/>
  <c r="I10" i="1" s="1"/>
  <c r="H2" i="1"/>
  <c r="J2" i="1" s="1"/>
  <c r="I2" i="1" l="1"/>
  <c r="M2" i="1" s="1"/>
  <c r="J10" i="1"/>
  <c r="J9" i="1"/>
  <c r="H14" i="1"/>
  <c r="I3" i="1"/>
  <c r="J8" i="1"/>
  <c r="J6" i="1"/>
  <c r="J5" i="1"/>
  <c r="I7" i="1"/>
  <c r="J4" i="1"/>
  <c r="J3" i="1"/>
  <c r="H12" i="1"/>
  <c r="H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<sst xmlns="http://schemas.openxmlformats.org/spreadsheetml/2006/main" count="35" uniqueCount="26">
  <si>
    <t>Name</t>
  </si>
  <si>
    <t>Physics</t>
  </si>
  <si>
    <t>Chem</t>
  </si>
  <si>
    <t>Maths</t>
  </si>
  <si>
    <t>C Programming</t>
  </si>
  <si>
    <t>Mithil</t>
  </si>
  <si>
    <t>Atharva</t>
  </si>
  <si>
    <t>parth</t>
  </si>
  <si>
    <t>ram</t>
  </si>
  <si>
    <t>shyam</t>
  </si>
  <si>
    <t>soham</t>
  </si>
  <si>
    <t>manswi</t>
  </si>
  <si>
    <t>nupur</t>
  </si>
  <si>
    <t>suparshw</t>
  </si>
  <si>
    <t>Average</t>
  </si>
  <si>
    <t>Min</t>
  </si>
  <si>
    <t>Max</t>
  </si>
  <si>
    <t>Mode</t>
  </si>
  <si>
    <t>Gender</t>
  </si>
  <si>
    <t>Male</t>
  </si>
  <si>
    <t>Female</t>
  </si>
  <si>
    <t>Min male</t>
  </si>
  <si>
    <t>Min female</t>
  </si>
  <si>
    <t>Result</t>
  </si>
  <si>
    <t>Females Failed</t>
  </si>
  <si>
    <t>Males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</si>
</sst>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1" fillId="2" borderId="0" xfId="1"/>
    <xf numFmtId="0" fontId="2" fillId="3" borderId="0" xfId="2"/>
    <xf numFmtId="0" fontId="1" fillId="2" borderId="0" xfId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915663894169154E-2"/>
          <c:y val="0.36445101618701142"/>
          <c:w val="0.87983932703142065"/>
          <c:h val="9.8617187804888623E-2"/>
        </c:manualLayout>
      </c:layout>
      <c:pie3D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Females Failed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25-4263-96B4-EABE2DA6D3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25-4263-96B4-EABE2DA6D3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25-4263-96B4-EABE2DA6D3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25-4263-96B4-EABE2DA6D3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25-4263-96B4-EABE2DA6D3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25-4263-96B4-EABE2DA6D3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C25-4263-96B4-EABE2DA6D3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C25-4263-96B4-EABE2DA6D3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C25-4263-96B4-EABE2DA6D30F}"/>
              </c:ext>
            </c:extLst>
          </c:dPt>
          <c:cat>
            <c:multiLvlStrRef>
              <c:f>Sheet1!$A$2:$J$10</c:f>
              <c:multiLvlStrCache>
                <c:ptCount val="9"/>
                <c:lvl>
                  <c:pt idx="0">
                    <c:v>Dist</c:v>
                  </c:pt>
                  <c:pt idx="1">
                    <c:v>Pass</c:v>
                  </c:pt>
                  <c:pt idx="2">
                    <c:v>First</c:v>
                  </c:pt>
                  <c:pt idx="3">
                    <c:v>First</c:v>
                  </c:pt>
                  <c:pt idx="4">
                    <c:v>Pass</c:v>
                  </c:pt>
                  <c:pt idx="5">
                    <c:v>FALSE</c:v>
                  </c:pt>
                  <c:pt idx="6">
                    <c:v>Pass</c:v>
                  </c:pt>
                  <c:pt idx="7">
                    <c:v>FALSE</c:v>
                  </c:pt>
                  <c:pt idx="8">
                    <c:v>Dist</c:v>
                  </c:pt>
                </c:lvl>
                <c:lvl>
                  <c:pt idx="0">
                    <c:v>Pass</c:v>
                  </c:pt>
                  <c:pt idx="1">
                    <c:v>Pass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Fail</c:v>
                  </c:pt>
                  <c:pt idx="6">
                    <c:v>Pass</c:v>
                  </c:pt>
                  <c:pt idx="7">
                    <c:v>Fail</c:v>
                  </c:pt>
                  <c:pt idx="8">
                    <c:v>Pass</c:v>
                  </c:pt>
                </c:lvl>
                <c:lvl>
                  <c:pt idx="0">
                    <c:v>70.00</c:v>
                  </c:pt>
                  <c:pt idx="1">
                    <c:v>61.60</c:v>
                  </c:pt>
                  <c:pt idx="2">
                    <c:v>67.60</c:v>
                  </c:pt>
                  <c:pt idx="3">
                    <c:v>67.80</c:v>
                  </c:pt>
                  <c:pt idx="4">
                    <c:v>64.20</c:v>
                  </c:pt>
                  <c:pt idx="5">
                    <c:v>58.60</c:v>
                  </c:pt>
                  <c:pt idx="6">
                    <c:v>60.80</c:v>
                  </c:pt>
                  <c:pt idx="7">
                    <c:v>41.60</c:v>
                  </c:pt>
                  <c:pt idx="8">
                    <c:v>76.40</c:v>
                  </c:pt>
                </c:lvl>
                <c:lvl>
                  <c:pt idx="0">
                    <c:v>44</c:v>
                  </c:pt>
                  <c:pt idx="1">
                    <c:v>50</c:v>
                  </c:pt>
                  <c:pt idx="2">
                    <c:v>81</c:v>
                  </c:pt>
                  <c:pt idx="3">
                    <c:v>76</c:v>
                  </c:pt>
                  <c:pt idx="4">
                    <c:v>77</c:v>
                  </c:pt>
                  <c:pt idx="5">
                    <c:v>29</c:v>
                  </c:pt>
                  <c:pt idx="6">
                    <c:v>79</c:v>
                  </c:pt>
                  <c:pt idx="7">
                    <c:v>40</c:v>
                  </c:pt>
                  <c:pt idx="8">
                    <c:v>87</c:v>
                  </c:pt>
                </c:lvl>
                <c:lvl>
                  <c:pt idx="0">
                    <c:v>82</c:v>
                  </c:pt>
                  <c:pt idx="1">
                    <c:v>84</c:v>
                  </c:pt>
                  <c:pt idx="2">
                    <c:v>68</c:v>
                  </c:pt>
                  <c:pt idx="3">
                    <c:v>72</c:v>
                  </c:pt>
                  <c:pt idx="4">
                    <c:v>60</c:v>
                  </c:pt>
                  <c:pt idx="5">
                    <c:v>60</c:v>
                  </c:pt>
                  <c:pt idx="6">
                    <c:v>43</c:v>
                  </c:pt>
                  <c:pt idx="7">
                    <c:v>67</c:v>
                  </c:pt>
                  <c:pt idx="8">
                    <c:v>78</c:v>
                  </c:pt>
                </c:lvl>
                <c:lvl>
                  <c:pt idx="0">
                    <c:v>79</c:v>
                  </c:pt>
                  <c:pt idx="1">
                    <c:v>52</c:v>
                  </c:pt>
                  <c:pt idx="2">
                    <c:v>54</c:v>
                  </c:pt>
                  <c:pt idx="3">
                    <c:v>97</c:v>
                  </c:pt>
                  <c:pt idx="4">
                    <c:v>71</c:v>
                  </c:pt>
                  <c:pt idx="5">
                    <c:v>71</c:v>
                  </c:pt>
                  <c:pt idx="6">
                    <c:v>75</c:v>
                  </c:pt>
                  <c:pt idx="7">
                    <c:v>30</c:v>
                  </c:pt>
                  <c:pt idx="8">
                    <c:v>79</c:v>
                  </c:pt>
                </c:lvl>
                <c:lvl>
                  <c:pt idx="0">
                    <c:v>54</c:v>
                  </c:pt>
                  <c:pt idx="1">
                    <c:v>68</c:v>
                  </c:pt>
                  <c:pt idx="2">
                    <c:v>81</c:v>
                  </c:pt>
                  <c:pt idx="3">
                    <c:v>35</c:v>
                  </c:pt>
                  <c:pt idx="4">
                    <c:v>51</c:v>
                  </c:pt>
                  <c:pt idx="5">
                    <c:v>92</c:v>
                  </c:pt>
                  <c:pt idx="6">
                    <c:v>35</c:v>
                  </c:pt>
                  <c:pt idx="7">
                    <c:v>35</c:v>
                  </c:pt>
                  <c:pt idx="8">
                    <c:v>73</c:v>
                  </c:pt>
                </c:lvl>
                <c:lvl>
                  <c:pt idx="0">
                    <c:v>91</c:v>
                  </c:pt>
                  <c:pt idx="1">
                    <c:v>54</c:v>
                  </c:pt>
                  <c:pt idx="2">
                    <c:v>54</c:v>
                  </c:pt>
                  <c:pt idx="3">
                    <c:v>59</c:v>
                  </c:pt>
                  <c:pt idx="4">
                    <c:v>62</c:v>
                  </c:pt>
                  <c:pt idx="5">
                    <c:v>41</c:v>
                  </c:pt>
                  <c:pt idx="6">
                    <c:v>72</c:v>
                  </c:pt>
                  <c:pt idx="7">
                    <c:v>36</c:v>
                  </c:pt>
                  <c:pt idx="8">
                    <c:v>65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</c:lvl>
                <c:lvl>
                  <c:pt idx="0">
                    <c:v>Mithil</c:v>
                  </c:pt>
                  <c:pt idx="1">
                    <c:v>Atharva</c:v>
                  </c:pt>
                  <c:pt idx="2">
                    <c:v>parth</c:v>
                  </c:pt>
                  <c:pt idx="3">
                    <c:v>ram</c:v>
                  </c:pt>
                  <c:pt idx="4">
                    <c:v>shyam</c:v>
                  </c:pt>
                  <c:pt idx="5">
                    <c:v>soham</c:v>
                  </c:pt>
                  <c:pt idx="6">
                    <c:v>manswi</c:v>
                  </c:pt>
                  <c:pt idx="7">
                    <c:v>nupur</c:v>
                  </c:pt>
                  <c:pt idx="8">
                    <c:v>suparshw</c:v>
                  </c:pt>
                </c:lvl>
              </c:multiLvlStrCache>
            </c:multiLvlStrRef>
          </c:cat>
          <c:val>
            <c:numRef>
              <c:f>Sheet1!$K$2:$K$10</c:f>
              <c:numCache>
                <c:formatCode>General</c:formatCode>
                <c:ptCount val="9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6-4526-AE22-920EF010A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224117</xdr:colOff>
      <xdr:row>2</xdr:row>
      <xdr:rowOff>57150</xdr:rowOff>
    </xdr:from>
    <xdr:to>
      <xdr:col>16</xdr:col>
      <xdr:colOff>156881</xdr:colOff>
      <xdr:row>12</xdr:row>
      <xdr:rowOff>140074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B9C746-44D3-149A-E28D-2D14BE0DA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113" zoomScaleNormal="136" workbookViewId="0">
      <selection activeCell="J17" sqref="J17"/>
    </sheetView>
  </sheetViews>
  <sheetFormatPr defaultRowHeight="14.4" x14ac:dyDescent="0.3"/>
  <cols>
    <col min="3" max="3" width="12.5546875" bestFit="1" customWidth="1"/>
  </cols>
  <sheetData>
    <row r="1" spans="1:14" x14ac:dyDescent="0.3">
      <c r="A1" s="3" t="s">
        <v>0</v>
      </c>
      <c r="B1" s="3" t="s">
        <v>18</v>
      </c>
      <c r="C1" s="3" t="s">
        <v>1</v>
      </c>
      <c r="D1" s="3" t="s">
        <v>2</v>
      </c>
      <c r="E1" s="3" t="s">
        <v>3</v>
      </c>
      <c r="F1" s="3" t="s">
        <v>4</v>
      </c>
      <c r="G1" s="3"/>
      <c r="H1" s="3" t="s">
        <v>14</v>
      </c>
      <c r="I1" s="3" t="s">
        <v>23</v>
      </c>
      <c r="J1" s="3"/>
      <c r="K1" s="3" t="s">
        <v>24</v>
      </c>
      <c r="L1" s="3"/>
      <c r="M1" s="5" t="s">
        <v>25</v>
      </c>
      <c r="N1" s="5"/>
    </row>
    <row r="2" spans="1:14" x14ac:dyDescent="0.3">
      <c r="A2" s="1" t="s">
        <v>5</v>
      </c>
      <c r="B2" s="1" t="s">
        <v>19</v>
      </c>
      <c r="C2" s="1">
        <v>91</v>
      </c>
      <c r="D2" s="1">
        <v>54</v>
      </c>
      <c r="E2" s="1">
        <v>79</v>
      </c>
      <c r="F2" s="1">
        <v>82</v>
      </c>
      <c r="G2" s="1">
        <v>44</v>
      </c>
      <c r="H2" s="2">
        <f>AVERAGE(C2,D2,E2,F2,G2)</f>
        <v>70</v>
      </c>
      <c r="I2" s="2" t="str">
        <f>IF(H2&gt;60,"Pass","Fail")</f>
        <v>Pass</v>
      </c>
      <c r="J2" t="str">
        <f>IF(H2&gt;=70,"Dist",IF(H2&gt;=65,"First",IF(H2&gt;=60,"Pass")))</f>
        <v>Dist</v>
      </c>
      <c r="K2">
        <v>1</v>
      </c>
      <c r="M2">
        <f>COUNTIFS(B2:B10,"Male",I2:I10,"Fail")</f>
        <v>1</v>
      </c>
    </row>
    <row r="3" spans="1:14" x14ac:dyDescent="0.3">
      <c r="A3" s="1" t="s">
        <v>6</v>
      </c>
      <c r="B3" s="1" t="s">
        <v>19</v>
      </c>
      <c r="C3" s="1">
        <v>54</v>
      </c>
      <c r="D3" s="1">
        <v>68</v>
      </c>
      <c r="E3" s="1">
        <v>52</v>
      </c>
      <c r="F3" s="1">
        <v>84</v>
      </c>
      <c r="G3" s="1">
        <v>50</v>
      </c>
      <c r="H3" s="2">
        <f t="shared" ref="H3:H10" si="0">AVERAGE(C3,D3,E3,F3,G3)</f>
        <v>61.6</v>
      </c>
      <c r="I3" s="2" t="str">
        <f t="shared" ref="I3:I10" si="1">IF(H3&gt;60,"Pass","Fail")</f>
        <v>Pass</v>
      </c>
      <c r="J3" t="str">
        <f t="shared" ref="J3:J10" si="2">IF(H3&gt;=70,"Dist",IF(H3&gt;=65,"First",IF(H3&gt;=60,"Pass")))</f>
        <v>Pass</v>
      </c>
    </row>
    <row r="4" spans="1:14" x14ac:dyDescent="0.3">
      <c r="A4" s="1" t="s">
        <v>7</v>
      </c>
      <c r="B4" s="1" t="s">
        <v>19</v>
      </c>
      <c r="C4" s="1">
        <v>54</v>
      </c>
      <c r="D4" s="1">
        <v>81</v>
      </c>
      <c r="E4" s="1">
        <v>54</v>
      </c>
      <c r="F4" s="1">
        <v>68</v>
      </c>
      <c r="G4" s="1">
        <v>81</v>
      </c>
      <c r="H4" s="2">
        <f t="shared" si="0"/>
        <v>67.599999999999994</v>
      </c>
      <c r="I4" s="2" t="str">
        <f t="shared" si="1"/>
        <v>Pass</v>
      </c>
      <c r="J4" t="str">
        <f t="shared" si="2"/>
        <v>First</v>
      </c>
    </row>
    <row r="5" spans="1:14" x14ac:dyDescent="0.3">
      <c r="A5" s="1" t="s">
        <v>8</v>
      </c>
      <c r="B5" s="1" t="s">
        <v>19</v>
      </c>
      <c r="C5" s="1">
        <v>59</v>
      </c>
      <c r="D5" s="1">
        <v>35</v>
      </c>
      <c r="E5" s="1">
        <v>97</v>
      </c>
      <c r="F5" s="1">
        <v>72</v>
      </c>
      <c r="G5" s="1">
        <v>76</v>
      </c>
      <c r="H5" s="2">
        <f t="shared" si="0"/>
        <v>67.8</v>
      </c>
      <c r="I5" s="2" t="str">
        <f t="shared" si="1"/>
        <v>Pass</v>
      </c>
      <c r="J5" t="str">
        <f t="shared" si="2"/>
        <v>First</v>
      </c>
    </row>
    <row r="6" spans="1:14" x14ac:dyDescent="0.3">
      <c r="A6" s="1" t="s">
        <v>9</v>
      </c>
      <c r="B6" s="1" t="s">
        <v>19</v>
      </c>
      <c r="C6" s="1">
        <v>62</v>
      </c>
      <c r="D6" s="1">
        <v>51</v>
      </c>
      <c r="E6" s="1">
        <v>71</v>
      </c>
      <c r="F6" s="1">
        <v>60</v>
      </c>
      <c r="G6" s="1">
        <v>77</v>
      </c>
      <c r="H6" s="2">
        <f t="shared" si="0"/>
        <v>64.2</v>
      </c>
      <c r="I6" s="2" t="str">
        <f t="shared" si="1"/>
        <v>Pass</v>
      </c>
      <c r="J6" t="str">
        <f t="shared" si="2"/>
        <v>Pass</v>
      </c>
    </row>
    <row r="7" spans="1:14" x14ac:dyDescent="0.3">
      <c r="A7" s="1" t="s">
        <v>10</v>
      </c>
      <c r="B7" s="1" t="s">
        <v>19</v>
      </c>
      <c r="C7" s="1">
        <v>41</v>
      </c>
      <c r="D7" s="1">
        <v>92</v>
      </c>
      <c r="E7" s="1">
        <v>71</v>
      </c>
      <c r="F7" s="1">
        <v>60</v>
      </c>
      <c r="G7" s="1">
        <v>29</v>
      </c>
      <c r="H7" s="2">
        <f t="shared" si="0"/>
        <v>58.6</v>
      </c>
      <c r="I7" s="2" t="str">
        <f t="shared" si="1"/>
        <v>Fail</v>
      </c>
      <c r="J7" t="b">
        <f>IF(H7&gt;=70,"Dist",IF(H7&gt;=65,"First",IF(H7&gt;=60,"Pass")))</f>
        <v>0</v>
      </c>
    </row>
    <row r="8" spans="1:14" x14ac:dyDescent="0.3">
      <c r="A8" s="1" t="s">
        <v>11</v>
      </c>
      <c r="B8" s="1" t="s">
        <v>20</v>
      </c>
      <c r="C8" s="1">
        <v>72</v>
      </c>
      <c r="D8" s="1">
        <v>35</v>
      </c>
      <c r="E8" s="1">
        <v>75</v>
      </c>
      <c r="F8" s="1">
        <v>43</v>
      </c>
      <c r="G8" s="1">
        <v>79</v>
      </c>
      <c r="H8" s="2">
        <f t="shared" si="0"/>
        <v>60.8</v>
      </c>
      <c r="I8" s="2" t="str">
        <f t="shared" si="1"/>
        <v>Pass</v>
      </c>
      <c r="J8" t="str">
        <f t="shared" si="2"/>
        <v>Pass</v>
      </c>
    </row>
    <row r="9" spans="1:14" x14ac:dyDescent="0.3">
      <c r="A9" s="1" t="s">
        <v>12</v>
      </c>
      <c r="B9" s="1" t="s">
        <v>20</v>
      </c>
      <c r="C9" s="1">
        <v>36</v>
      </c>
      <c r="D9" s="1">
        <v>35</v>
      </c>
      <c r="E9" s="1">
        <v>30</v>
      </c>
      <c r="F9" s="1">
        <v>67</v>
      </c>
      <c r="G9" s="1">
        <v>40</v>
      </c>
      <c r="H9" s="2">
        <f t="shared" si="0"/>
        <v>41.6</v>
      </c>
      <c r="I9" s="2" t="str">
        <f t="shared" si="1"/>
        <v>Fail</v>
      </c>
      <c r="J9" t="b">
        <f t="shared" si="2"/>
        <v>0</v>
      </c>
    </row>
    <row r="10" spans="1:14" x14ac:dyDescent="0.3">
      <c r="A10" s="1" t="s">
        <v>13</v>
      </c>
      <c r="B10" s="1" t="s">
        <v>19</v>
      </c>
      <c r="C10" s="1">
        <v>65</v>
      </c>
      <c r="D10" s="1">
        <v>73</v>
      </c>
      <c r="E10" s="1">
        <v>79</v>
      </c>
      <c r="F10" s="1">
        <v>78</v>
      </c>
      <c r="G10" s="1">
        <v>87</v>
      </c>
      <c r="H10" s="2">
        <f t="shared" si="0"/>
        <v>76.400000000000006</v>
      </c>
      <c r="I10" s="2" t="str">
        <f t="shared" si="1"/>
        <v>Pass</v>
      </c>
      <c r="J10" t="str">
        <f t="shared" si="2"/>
        <v>Dist</v>
      </c>
    </row>
    <row r="11" spans="1:14" ht="18" customHeight="1" x14ac:dyDescent="0.3">
      <c r="A11" s="1"/>
      <c r="B11" s="1"/>
      <c r="C11" s="1"/>
      <c r="D11" s="1"/>
      <c r="E11" s="1"/>
      <c r="F11" s="1"/>
      <c r="G11" s="1"/>
      <c r="H11" s="2"/>
      <c r="I11" s="2"/>
    </row>
    <row r="12" spans="1:14" x14ac:dyDescent="0.3">
      <c r="A12" s="4" t="s">
        <v>15</v>
      </c>
      <c r="B12" s="4"/>
      <c r="C12" s="4">
        <f>MIN(C2:C10)</f>
        <v>36</v>
      </c>
      <c r="D12" s="4">
        <f t="shared" ref="D12:H12" si="3">MIN(D2:D10)</f>
        <v>35</v>
      </c>
      <c r="E12" s="4">
        <f t="shared" si="3"/>
        <v>30</v>
      </c>
      <c r="F12" s="4">
        <f t="shared" si="3"/>
        <v>43</v>
      </c>
      <c r="G12" s="4">
        <f t="shared" si="3"/>
        <v>29</v>
      </c>
      <c r="H12" s="4">
        <f t="shared" si="3"/>
        <v>41.6</v>
      </c>
      <c r="I12" s="4"/>
    </row>
    <row r="13" spans="1:14" x14ac:dyDescent="0.3">
      <c r="A13" s="4" t="s">
        <v>16</v>
      </c>
      <c r="B13" s="4"/>
      <c r="C13" s="4">
        <f>MAX(C2:C12)</f>
        <v>91</v>
      </c>
      <c r="D13" s="4">
        <f t="shared" ref="D13:H13" si="4">MAX(D2:D12)</f>
        <v>92</v>
      </c>
      <c r="E13" s="4">
        <f t="shared" si="4"/>
        <v>97</v>
      </c>
      <c r="F13" s="4">
        <f t="shared" si="4"/>
        <v>84</v>
      </c>
      <c r="G13" s="4">
        <f t="shared" si="4"/>
        <v>87</v>
      </c>
      <c r="H13" s="4">
        <f t="shared" si="4"/>
        <v>76.400000000000006</v>
      </c>
      <c r="I13" s="4"/>
    </row>
    <row r="14" spans="1:14" x14ac:dyDescent="0.3">
      <c r="A14" s="4" t="s">
        <v>17</v>
      </c>
      <c r="B14" s="4"/>
      <c r="C14" s="4">
        <f>MODE(C2:C10)</f>
        <v>54</v>
      </c>
      <c r="D14" s="4">
        <f>MODE(D2:D10)</f>
        <v>35</v>
      </c>
      <c r="E14" s="4">
        <f t="shared" ref="E14:H14" si="5">MODE(E2:E10)</f>
        <v>79</v>
      </c>
      <c r="F14" s="4">
        <f t="shared" si="5"/>
        <v>60</v>
      </c>
      <c r="G14" s="4" t="e">
        <f t="shared" si="5"/>
        <v>#N/A</v>
      </c>
      <c r="H14" s="4" t="e">
        <f t="shared" si="5"/>
        <v>#N/A</v>
      </c>
      <c r="I14" s="4"/>
    </row>
    <row r="16" spans="1:14" x14ac:dyDescent="0.3">
      <c r="A16" s="4" t="s">
        <v>21</v>
      </c>
      <c r="B16" s="4"/>
      <c r="C16" s="4">
        <f>MIN(C2:C7,C10)</f>
        <v>41</v>
      </c>
      <c r="D16" s="4">
        <f t="shared" ref="D16:G16" si="6">MIN(D2:D7,D10)</f>
        <v>35</v>
      </c>
      <c r="E16" s="4">
        <f t="shared" si="6"/>
        <v>52</v>
      </c>
      <c r="F16" s="4">
        <f t="shared" si="6"/>
        <v>60</v>
      </c>
      <c r="G16" s="4">
        <f t="shared" si="6"/>
        <v>29</v>
      </c>
    </row>
    <row r="17" spans="1:7" x14ac:dyDescent="0.3">
      <c r="A17" s="4" t="s">
        <v>22</v>
      </c>
      <c r="B17" s="4"/>
      <c r="C17" s="4">
        <f>MIN(C8:C9)</f>
        <v>36</v>
      </c>
      <c r="D17" s="4">
        <f t="shared" ref="D17:G17" si="7">MIN(D8:D9)</f>
        <v>35</v>
      </c>
      <c r="E17" s="4" t="e" cm="1">
        <f t="array" aca="1" ref="E17" ca="1">H19MIN(E8:E9)</f>
        <v>#NAME?</v>
      </c>
      <c r="F17" s="4">
        <f t="shared" si="7"/>
        <v>43</v>
      </c>
      <c r="G17" s="4">
        <f t="shared" si="7"/>
        <v>40</v>
      </c>
    </row>
    <row r="19" spans="1:7" x14ac:dyDescent="0.3">
      <c r="A19" s="4" t="s">
        <v>19</v>
      </c>
      <c r="C19">
        <f>SUMIF($B2:$B10,"Male",C2:C10)</f>
        <v>426</v>
      </c>
      <c r="D19">
        <f t="shared" ref="D19:G19" si="8">SUMIF($B2:$B10,"Male",D2:D10)</f>
        <v>454</v>
      </c>
      <c r="E19">
        <f t="shared" si="8"/>
        <v>503</v>
      </c>
      <c r="F19">
        <f t="shared" si="8"/>
        <v>504</v>
      </c>
      <c r="G19">
        <f t="shared" si="8"/>
        <v>444</v>
      </c>
    </row>
    <row r="20" spans="1:7" x14ac:dyDescent="0.3">
      <c r="A20" s="4" t="s">
        <v>20</v>
      </c>
      <c r="C20">
        <f>SUMIF($B2:$B10,"Female",C2:C10)</f>
        <v>108</v>
      </c>
      <c r="D20">
        <f t="shared" ref="D20:G20" si="9">SUMIF($B2:$B10,"Female",D2:D10)</f>
        <v>70</v>
      </c>
      <c r="E20">
        <f>SUMIF($B2:$B10,"Female",E2:E10)</f>
        <v>105</v>
      </c>
      <c r="F20">
        <f t="shared" si="9"/>
        <v>110</v>
      </c>
      <c r="G20">
        <f t="shared" si="9"/>
        <v>119</v>
      </c>
    </row>
  </sheetData>
  <mergeCells count="1">
    <mergeCell ref="M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Atharva Balpande</cp:lastModifiedBy>
  <dcterms:created xsi:type="dcterms:W3CDTF">2025-10-07T03:40:03Z</dcterms:created>
  <dcterms:modified xsi:type="dcterms:W3CDTF">2026-01-12T13:40:43Z</dcterms:modified>
</cp:coreProperties>
</file>